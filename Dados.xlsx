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b6fcbc0909f782/Documentos/Grafos/"/>
    </mc:Choice>
  </mc:AlternateContent>
  <xr:revisionPtr revIDLastSave="42" documentId="11_C0164D079B150FDDAF8A240A4257C1F94C8CB4F0" xr6:coauthVersionLast="47" xr6:coauthVersionMax="47" xr10:uidLastSave="{F02257D5-EAE3-4638-8C8F-9BB154CDACD9}"/>
  <bookViews>
    <workbookView xWindow="-120" yWindow="-120" windowWidth="29040" windowHeight="15720" xr2:uid="{00000000-000D-0000-FFFF-FFFF00000000}"/>
  </bookViews>
  <sheets>
    <sheet name="Sheet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14" i="2"/>
  <c r="A17" i="2"/>
  <c r="A18" i="2"/>
  <c r="A52" i="2"/>
  <c r="A51" i="2"/>
  <c r="A50" i="2"/>
  <c r="A46" i="2"/>
  <c r="A45" i="2"/>
  <c r="A44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5" i="2"/>
  <c r="A10" i="2"/>
  <c r="A9" i="2"/>
  <c r="A8" i="2"/>
  <c r="C52" i="2"/>
  <c r="B52" i="2"/>
  <c r="C51" i="2"/>
  <c r="B51" i="2"/>
  <c r="C50" i="2"/>
  <c r="B50" i="2"/>
  <c r="C49" i="2"/>
  <c r="B49" i="2"/>
  <c r="A49" i="2"/>
  <c r="C48" i="2"/>
  <c r="B48" i="2"/>
  <c r="A48" i="2"/>
  <c r="C47" i="2"/>
  <c r="B47" i="2"/>
  <c r="A47" i="2"/>
  <c r="C46" i="2"/>
  <c r="B46" i="2"/>
  <c r="C45" i="2"/>
  <c r="B45" i="2"/>
  <c r="C44" i="2"/>
  <c r="B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A13" i="2"/>
  <c r="C12" i="2"/>
  <c r="B12" i="2"/>
  <c r="A12" i="2"/>
  <c r="C11" i="2"/>
  <c r="B11" i="2"/>
  <c r="A11" i="2"/>
  <c r="C10" i="2"/>
  <c r="B10" i="2"/>
  <c r="C9" i="2"/>
  <c r="B9" i="2"/>
  <c r="C8" i="2"/>
  <c r="B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C1" i="2"/>
  <c r="B1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Dado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2"/>
  <sheetViews>
    <sheetView tabSelected="1" topLeftCell="A7" workbookViewId="0">
      <selection activeCell="A19" sqref="A19"/>
    </sheetView>
  </sheetViews>
  <sheetFormatPr defaultColWidth="12.5703125" defaultRowHeight="15.75" customHeight="1" x14ac:dyDescent="0.2"/>
  <cols>
    <col min="1" max="1" width="39.7109375" bestFit="1" customWidth="1"/>
  </cols>
  <sheetData>
    <row r="1" spans="1:3" x14ac:dyDescent="0.2">
      <c r="A1" s="2" t="str">
        <f ca="1">IFERROR(__xludf.DUMMYFUNCTION("ARRAYFORMULA(QUERY(SPLIT(FLATTEN(FILTER(Dados!B2:B1000, Dados!B2:B1000&lt;&gt;"""") &amp; ""|"" &amp; TRIM(SPLIT(FILTER(Dados!C2:C1000, Dados!B2:B1000&lt;&gt;""""), "","", FALSE)) &amp; ""|1""), ""|""), ""Select Col1, Col2, Col3 Where Col2 is not null Label Col1 'from', Col2 'to"&amp;"', Col3 'weight'""))"),"from")</f>
        <v>from</v>
      </c>
      <c r="B1" s="1" t="str">
        <f ca="1">IFERROR(__xludf.DUMMYFUNCTION("""COMPUTED_VALUE"""),"to")</f>
        <v>to</v>
      </c>
      <c r="C1" s="1" t="str">
        <f ca="1">IFERROR(__xludf.DUMMYFUNCTION("""COMPUTED_VALUE"""),"weight")</f>
        <v>weight</v>
      </c>
    </row>
    <row r="2" spans="1:3" x14ac:dyDescent="0.2">
      <c r="A2" s="1" t="str">
        <f ca="1">IFERROR(__xludf.DUMMYFUNCTION("""COMPUTED_VALUE"""),"Cauã ")</f>
        <v xml:space="preserve">Cauã </v>
      </c>
      <c r="B2" s="1" t="str">
        <f ca="1">IFERROR(__xludf.DUMMYFUNCTION("""COMPUTED_VALUE"""),"Pop")</f>
        <v>Pop</v>
      </c>
      <c r="C2" s="1">
        <f ca="1">IFERROR(__xludf.DUMMYFUNCTION("""COMPUTED_VALUE"""),1)</f>
        <v>1</v>
      </c>
    </row>
    <row r="3" spans="1:3" x14ac:dyDescent="0.2">
      <c r="A3" s="1" t="str">
        <f ca="1">IFERROR(__xludf.DUMMYFUNCTION("""COMPUTED_VALUE"""),"Cauã ")</f>
        <v xml:space="preserve">Cauã </v>
      </c>
      <c r="B3" s="1" t="str">
        <f ca="1">IFERROR(__xludf.DUMMYFUNCTION("""COMPUTED_VALUE"""),"Hip Hop")</f>
        <v>Hip Hop</v>
      </c>
      <c r="C3" s="1">
        <f ca="1">IFERROR(__xludf.DUMMYFUNCTION("""COMPUTED_VALUE"""),1)</f>
        <v>1</v>
      </c>
    </row>
    <row r="4" spans="1:3" x14ac:dyDescent="0.2">
      <c r="A4" s="1" t="str">
        <f ca="1">IFERROR(__xludf.DUMMYFUNCTION("""COMPUTED_VALUE"""),"Cauã ")</f>
        <v xml:space="preserve">Cauã </v>
      </c>
      <c r="B4" s="1" t="str">
        <f ca="1">IFERROR(__xludf.DUMMYFUNCTION("""COMPUTED_VALUE"""),"R&amp;B")</f>
        <v>R&amp;B</v>
      </c>
      <c r="C4" s="1">
        <f ca="1">IFERROR(__xludf.DUMMYFUNCTION("""COMPUTED_VALUE"""),1)</f>
        <v>1</v>
      </c>
    </row>
    <row r="5" spans="1:3" x14ac:dyDescent="0.2">
      <c r="A5" s="1" t="str">
        <f ca="1">IFERROR(__xludf.DUMMYFUNCTION("""COMPUTED_VALUE"""),"Kelvin")</f>
        <v>Kelvin</v>
      </c>
      <c r="B5" s="1" t="str">
        <f ca="1">IFERROR(__xludf.DUMMYFUNCTION("""COMPUTED_VALUE"""),"MPB")</f>
        <v>MPB</v>
      </c>
      <c r="C5" s="1">
        <f ca="1">IFERROR(__xludf.DUMMYFUNCTION("""COMPUTED_VALUE"""),1)</f>
        <v>1</v>
      </c>
    </row>
    <row r="6" spans="1:3" x14ac:dyDescent="0.2">
      <c r="A6" s="1" t="str">
        <f ca="1">IFERROR(__xludf.DUMMYFUNCTION("""COMPUTED_VALUE"""),"Kelvin")</f>
        <v>Kelvin</v>
      </c>
      <c r="B6" s="1" t="str">
        <f ca="1">IFERROR(__xludf.DUMMYFUNCTION("""COMPUTED_VALUE"""),"Eletrônica")</f>
        <v>Eletrônica</v>
      </c>
      <c r="C6" s="1">
        <f ca="1">IFERROR(__xludf.DUMMYFUNCTION("""COMPUTED_VALUE"""),1)</f>
        <v>1</v>
      </c>
    </row>
    <row r="7" spans="1:3" x14ac:dyDescent="0.2">
      <c r="A7" s="1" t="str">
        <f ca="1">IFERROR(__xludf.DUMMYFUNCTION("""COMPUTED_VALUE"""),"Kelvin")</f>
        <v>Kelvin</v>
      </c>
      <c r="B7" s="1" t="str">
        <f ca="1">IFERROR(__xludf.DUMMYFUNCTION("""COMPUTED_VALUE"""),"Jazz")</f>
        <v>Jazz</v>
      </c>
      <c r="C7" s="1">
        <f ca="1">IFERROR(__xludf.DUMMYFUNCTION("""COMPUTED_VALUE"""),1)</f>
        <v>1</v>
      </c>
    </row>
    <row r="8" spans="1:3" x14ac:dyDescent="0.2">
      <c r="A8" s="1" t="str">
        <f ca="1">IFERROR(__xludf.DUMMYFUNCTION("""COMPUTED_VALUE"""),"Giovanni ")</f>
        <v xml:space="preserve">Giovanni </v>
      </c>
      <c r="B8" s="1" t="str">
        <f ca="1">IFERROR(__xludf.DUMMYFUNCTION("""COMPUTED_VALUE"""),"Sertanejo")</f>
        <v>Sertanejo</v>
      </c>
      <c r="C8" s="1">
        <f ca="1">IFERROR(__xludf.DUMMYFUNCTION("""COMPUTED_VALUE"""),1)</f>
        <v>1</v>
      </c>
    </row>
    <row r="9" spans="1:3" x14ac:dyDescent="0.2">
      <c r="A9" s="1" t="str">
        <f ca="1">IFERROR(__xludf.DUMMYFUNCTION("""COMPUTED_VALUE"""),"Giovanni ")</f>
        <v xml:space="preserve">Giovanni </v>
      </c>
      <c r="B9" s="1" t="str">
        <f ca="1">IFERROR(__xludf.DUMMYFUNCTION("""COMPUTED_VALUE"""),"Funk")</f>
        <v>Funk</v>
      </c>
      <c r="C9" s="1">
        <f ca="1">IFERROR(__xludf.DUMMYFUNCTION("""COMPUTED_VALUE"""),1)</f>
        <v>1</v>
      </c>
    </row>
    <row r="10" spans="1:3" x14ac:dyDescent="0.2">
      <c r="A10" s="1" t="str">
        <f ca="1">IFERROR(__xludf.DUMMYFUNCTION("""COMPUTED_VALUE"""),"Giovanni ")</f>
        <v xml:space="preserve">Giovanni </v>
      </c>
      <c r="B10" s="1" t="str">
        <f ca="1">IFERROR(__xludf.DUMMYFUNCTION("""COMPUTED_VALUE"""),"Pagode")</f>
        <v>Pagode</v>
      </c>
      <c r="C10" s="1">
        <f ca="1">IFERROR(__xludf.DUMMYFUNCTION("""COMPUTED_VALUE"""),1)</f>
        <v>1</v>
      </c>
    </row>
    <row r="11" spans="1:3" x14ac:dyDescent="0.2">
      <c r="A11" s="1" t="str">
        <f ca="1">IFERROR(__xludf.DUMMYFUNCTION("""COMPUTED_VALUE"""),"João Pedro")</f>
        <v>João Pedro</v>
      </c>
      <c r="B11" s="1" t="str">
        <f ca="1">IFERROR(__xludf.DUMMYFUNCTION("""COMPUTED_VALUE"""),"Rock")</f>
        <v>Rock</v>
      </c>
      <c r="C11" s="1">
        <f ca="1">IFERROR(__xludf.DUMMYFUNCTION("""COMPUTED_VALUE"""),1)</f>
        <v>1</v>
      </c>
    </row>
    <row r="12" spans="1:3" x14ac:dyDescent="0.2">
      <c r="A12" s="1" t="str">
        <f ca="1">IFERROR(__xludf.DUMMYFUNCTION("""COMPUTED_VALUE"""),"João Pedro")</f>
        <v>João Pedro</v>
      </c>
      <c r="B12" s="1" t="str">
        <f ca="1">IFERROR(__xludf.DUMMYFUNCTION("""COMPUTED_VALUE"""),"Pop")</f>
        <v>Pop</v>
      </c>
      <c r="C12" s="1">
        <f ca="1">IFERROR(__xludf.DUMMYFUNCTION("""COMPUTED_VALUE"""),1)</f>
        <v>1</v>
      </c>
    </row>
    <row r="13" spans="1:3" x14ac:dyDescent="0.2">
      <c r="A13" s="1" t="str">
        <f ca="1">IFERROR(__xludf.DUMMYFUNCTION("""COMPUTED_VALUE"""),"João Pedro")</f>
        <v>João Pedro</v>
      </c>
      <c r="B13" s="1" t="str">
        <f ca="1">IFERROR(__xludf.DUMMYFUNCTION("""COMPUTED_VALUE"""),"Metal")</f>
        <v>Metal</v>
      </c>
      <c r="C13" s="1">
        <f ca="1">IFERROR(__xludf.DUMMYFUNCTION("""COMPUTED_VALUE"""),1)</f>
        <v>1</v>
      </c>
    </row>
    <row r="14" spans="1:3" x14ac:dyDescent="0.2">
      <c r="A14" s="1" t="str">
        <f ca="1">IFERROR(__xludf.DUMMYFUNCTION("""COMPUTED_VALUE"""),"Eduardo ")</f>
        <v xml:space="preserve">Eduardo </v>
      </c>
      <c r="B14" s="1" t="str">
        <f ca="1">IFERROR(__xludf.DUMMYFUNCTION("""COMPUTED_VALUE"""),"Pop")</f>
        <v>Pop</v>
      </c>
      <c r="C14" s="1">
        <f ca="1">IFERROR(__xludf.DUMMYFUNCTION("""COMPUTED_VALUE"""),1)</f>
        <v>1</v>
      </c>
    </row>
    <row r="15" spans="1:3" x14ac:dyDescent="0.2">
      <c r="A15" s="1" t="str">
        <f ca="1">IFERROR(__xludf.DUMMYFUNCTION("""COMPUTED_VALUE"""),"Eduardo ")</f>
        <v xml:space="preserve">Eduardo </v>
      </c>
      <c r="B15" s="1" t="str">
        <f ca="1">IFERROR(__xludf.DUMMYFUNCTION("""COMPUTED_VALUE"""),"Eletrônica")</f>
        <v>Eletrônica</v>
      </c>
      <c r="C15" s="1">
        <f ca="1">IFERROR(__xludf.DUMMYFUNCTION("""COMPUTED_VALUE"""),1)</f>
        <v>1</v>
      </c>
    </row>
    <row r="16" spans="1:3" x14ac:dyDescent="0.2">
      <c r="A16" s="1" t="str">
        <f ca="1">IFERROR(__xludf.DUMMYFUNCTION("""COMPUTED_VALUE"""),"Eduardo ")</f>
        <v xml:space="preserve">Eduardo </v>
      </c>
      <c r="B16" s="1" t="str">
        <f ca="1">IFERROR(__xludf.DUMMYFUNCTION("""COMPUTED_VALUE"""),"Pagode")</f>
        <v>Pagode</v>
      </c>
      <c r="C16" s="1">
        <f ca="1">IFERROR(__xludf.DUMMYFUNCTION("""COMPUTED_VALUE"""),1)</f>
        <v>1</v>
      </c>
    </row>
    <row r="17" spans="1:3" x14ac:dyDescent="0.2">
      <c r="A17" s="1" t="str">
        <f ca="1">IFERROR(__xludf.DUMMYFUNCTION("""COMPUTED_VALUE"""),"Thayná ")</f>
        <v xml:space="preserve">Thayná </v>
      </c>
      <c r="B17" s="1" t="str">
        <f ca="1">IFERROR(__xludf.DUMMYFUNCTION("""COMPUTED_VALUE"""),"Sertanejo")</f>
        <v>Sertanejo</v>
      </c>
      <c r="C17" s="1">
        <f ca="1">IFERROR(__xludf.DUMMYFUNCTION("""COMPUTED_VALUE"""),1)</f>
        <v>1</v>
      </c>
    </row>
    <row r="18" spans="1:3" x14ac:dyDescent="0.2">
      <c r="A18" s="1" t="str">
        <f ca="1">IFERROR(__xludf.DUMMYFUNCTION("""COMPUTED_VALUE"""),"Thayná ")</f>
        <v xml:space="preserve">Thayná </v>
      </c>
      <c r="B18" s="1" t="str">
        <f ca="1">IFERROR(__xludf.DUMMYFUNCTION("""COMPUTED_VALUE"""),"Funk")</f>
        <v>Funk</v>
      </c>
      <c r="C18" s="1">
        <f ca="1">IFERROR(__xludf.DUMMYFUNCTION("""COMPUTED_VALUE"""),1)</f>
        <v>1</v>
      </c>
    </row>
    <row r="19" spans="1:3" x14ac:dyDescent="0.2">
      <c r="A19" s="1" t="str">
        <f ca="1">IFERROR(__xludf.DUMMYFUNCTION("""COMPUTED_VALUE"""),"Thayná ")</f>
        <v xml:space="preserve">Thayná </v>
      </c>
      <c r="B19" s="1" t="str">
        <f ca="1">IFERROR(__xludf.DUMMYFUNCTION("""COMPUTED_VALUE"""),"Pagode")</f>
        <v>Pagode</v>
      </c>
      <c r="C19" s="1">
        <f ca="1">IFERROR(__xludf.DUMMYFUNCTION("""COMPUTED_VALUE"""),1)</f>
        <v>1</v>
      </c>
    </row>
    <row r="20" spans="1:3" x14ac:dyDescent="0.2">
      <c r="A20" s="1" t="str">
        <f ca="1">IFERROR(__xludf.DUMMYFUNCTION("""COMPUTED_VALUE"""),"Lorena ")</f>
        <v xml:space="preserve">Lorena </v>
      </c>
      <c r="B20" s="1" t="str">
        <f ca="1">IFERROR(__xludf.DUMMYFUNCTION("""COMPUTED_VALUE"""),"Sertanejo")</f>
        <v>Sertanejo</v>
      </c>
      <c r="C20" s="1">
        <f ca="1">IFERROR(__xludf.DUMMYFUNCTION("""COMPUTED_VALUE"""),1)</f>
        <v>1</v>
      </c>
    </row>
    <row r="21" spans="1:3" x14ac:dyDescent="0.2">
      <c r="A21" s="1" t="str">
        <f ca="1">IFERROR(__xludf.DUMMYFUNCTION("""COMPUTED_VALUE"""),"Lorena ")</f>
        <v xml:space="preserve">Lorena </v>
      </c>
      <c r="B21" s="1" t="str">
        <f ca="1">IFERROR(__xludf.DUMMYFUNCTION("""COMPUTED_VALUE"""),"MPB")</f>
        <v>MPB</v>
      </c>
      <c r="C21" s="1">
        <f ca="1">IFERROR(__xludf.DUMMYFUNCTION("""COMPUTED_VALUE"""),1)</f>
        <v>1</v>
      </c>
    </row>
    <row r="22" spans="1:3" x14ac:dyDescent="0.2">
      <c r="A22" s="1" t="str">
        <f ca="1">IFERROR(__xludf.DUMMYFUNCTION("""COMPUTED_VALUE"""),"Lorena ")</f>
        <v xml:space="preserve">Lorena </v>
      </c>
      <c r="B22" s="1" t="str">
        <f ca="1">IFERROR(__xludf.DUMMYFUNCTION("""COMPUTED_VALUE"""),"Funk")</f>
        <v>Funk</v>
      </c>
      <c r="C22" s="1">
        <f ca="1">IFERROR(__xludf.DUMMYFUNCTION("""COMPUTED_VALUE"""),1)</f>
        <v>1</v>
      </c>
    </row>
    <row r="23" spans="1:3" x14ac:dyDescent="0.2">
      <c r="A23" s="1" t="str">
        <f ca="1">IFERROR(__xludf.DUMMYFUNCTION("""COMPUTED_VALUE"""),"Felipe ")</f>
        <v xml:space="preserve">Felipe </v>
      </c>
      <c r="B23" s="1" t="str">
        <f ca="1">IFERROR(__xludf.DUMMYFUNCTION("""COMPUTED_VALUE"""),"Rock")</f>
        <v>Rock</v>
      </c>
      <c r="C23" s="1">
        <f ca="1">IFERROR(__xludf.DUMMYFUNCTION("""COMPUTED_VALUE"""),1)</f>
        <v>1</v>
      </c>
    </row>
    <row r="24" spans="1:3" x14ac:dyDescent="0.2">
      <c r="A24" s="1" t="str">
        <f ca="1">IFERROR(__xludf.DUMMYFUNCTION("""COMPUTED_VALUE"""),"Felipe ")</f>
        <v xml:space="preserve">Felipe </v>
      </c>
      <c r="B24" s="1" t="str">
        <f ca="1">IFERROR(__xludf.DUMMYFUNCTION("""COMPUTED_VALUE"""),"Funk")</f>
        <v>Funk</v>
      </c>
      <c r="C24" s="1">
        <f ca="1">IFERROR(__xludf.DUMMYFUNCTION("""COMPUTED_VALUE"""),1)</f>
        <v>1</v>
      </c>
    </row>
    <row r="25" spans="1:3" x14ac:dyDescent="0.2">
      <c r="A25" s="1" t="str">
        <f ca="1">IFERROR(__xludf.DUMMYFUNCTION("""COMPUTED_VALUE"""),"Felipe ")</f>
        <v xml:space="preserve">Felipe </v>
      </c>
      <c r="B25" s="1" t="str">
        <f ca="1">IFERROR(__xludf.DUMMYFUNCTION("""COMPUTED_VALUE"""),"Pagode")</f>
        <v>Pagode</v>
      </c>
      <c r="C25" s="1">
        <f ca="1">IFERROR(__xludf.DUMMYFUNCTION("""COMPUTED_VALUE"""),1)</f>
        <v>1</v>
      </c>
    </row>
    <row r="26" spans="1:3" x14ac:dyDescent="0.2">
      <c r="A26" s="1" t="str">
        <f ca="1">IFERROR(__xludf.DUMMYFUNCTION("""COMPUTED_VALUE"""),"Ketelim ")</f>
        <v xml:space="preserve">Ketelim </v>
      </c>
      <c r="B26" s="1" t="str">
        <f ca="1">IFERROR(__xludf.DUMMYFUNCTION("""COMPUTED_VALUE"""),"Rock")</f>
        <v>Rock</v>
      </c>
      <c r="C26" s="1">
        <f ca="1">IFERROR(__xludf.DUMMYFUNCTION("""COMPUTED_VALUE"""),1)</f>
        <v>1</v>
      </c>
    </row>
    <row r="27" spans="1:3" x14ac:dyDescent="0.2">
      <c r="A27" s="1" t="str">
        <f ca="1">IFERROR(__xludf.DUMMYFUNCTION("""COMPUTED_VALUE"""),"Ketelim ")</f>
        <v xml:space="preserve">Ketelim </v>
      </c>
      <c r="B27" s="1" t="str">
        <f ca="1">IFERROR(__xludf.DUMMYFUNCTION("""COMPUTED_VALUE"""),"Pop")</f>
        <v>Pop</v>
      </c>
      <c r="C27" s="1">
        <f ca="1">IFERROR(__xludf.DUMMYFUNCTION("""COMPUTED_VALUE"""),1)</f>
        <v>1</v>
      </c>
    </row>
    <row r="28" spans="1:3" x14ac:dyDescent="0.2">
      <c r="A28" s="1" t="str">
        <f ca="1">IFERROR(__xludf.DUMMYFUNCTION("""COMPUTED_VALUE"""),"Ketelim ")</f>
        <v xml:space="preserve">Ketelim </v>
      </c>
      <c r="B28" s="1" t="str">
        <f ca="1">IFERROR(__xludf.DUMMYFUNCTION("""COMPUTED_VALUE"""),"Eletrônica")</f>
        <v>Eletrônica</v>
      </c>
      <c r="C28" s="1">
        <f ca="1">IFERROR(__xludf.DUMMYFUNCTION("""COMPUTED_VALUE"""),1)</f>
        <v>1</v>
      </c>
    </row>
    <row r="29" spans="1:3" x14ac:dyDescent="0.2">
      <c r="A29" s="1" t="str">
        <f ca="1">IFERROR(__xludf.DUMMYFUNCTION("""COMPUTED_VALUE"""),"Lívia")</f>
        <v>Lívia</v>
      </c>
      <c r="B29" s="1" t="str">
        <f ca="1">IFERROR(__xludf.DUMMYFUNCTION("""COMPUTED_VALUE"""),"Pop")</f>
        <v>Pop</v>
      </c>
      <c r="C29" s="1">
        <f ca="1">IFERROR(__xludf.DUMMYFUNCTION("""COMPUTED_VALUE"""),1)</f>
        <v>1</v>
      </c>
    </row>
    <row r="30" spans="1:3" x14ac:dyDescent="0.2">
      <c r="A30" s="1" t="str">
        <f ca="1">IFERROR(__xludf.DUMMYFUNCTION("""COMPUTED_VALUE"""),"Lívia")</f>
        <v>Lívia</v>
      </c>
      <c r="B30" s="1" t="str">
        <f ca="1">IFERROR(__xludf.DUMMYFUNCTION("""COMPUTED_VALUE"""),"Sertanejo")</f>
        <v>Sertanejo</v>
      </c>
      <c r="C30" s="1">
        <f ca="1">IFERROR(__xludf.DUMMYFUNCTION("""COMPUTED_VALUE"""),1)</f>
        <v>1</v>
      </c>
    </row>
    <row r="31" spans="1:3" x14ac:dyDescent="0.2">
      <c r="A31" s="1" t="str">
        <f ca="1">IFERROR(__xludf.DUMMYFUNCTION("""COMPUTED_VALUE"""),"Lívia")</f>
        <v>Lívia</v>
      </c>
      <c r="B31" s="1" t="str">
        <f ca="1">IFERROR(__xludf.DUMMYFUNCTION("""COMPUTED_VALUE"""),"Funk")</f>
        <v>Funk</v>
      </c>
      <c r="C31" s="1">
        <f ca="1">IFERROR(__xludf.DUMMYFUNCTION("""COMPUTED_VALUE"""),1)</f>
        <v>1</v>
      </c>
    </row>
    <row r="32" spans="1:3" x14ac:dyDescent="0.2">
      <c r="A32" s="1" t="str">
        <f ca="1">IFERROR(__xludf.DUMMYFUNCTION("""COMPUTED_VALUE"""),"Jhow")</f>
        <v>Jhow</v>
      </c>
      <c r="B32" s="1" t="str">
        <f ca="1">IFERROR(__xludf.DUMMYFUNCTION("""COMPUTED_VALUE"""),"Pop")</f>
        <v>Pop</v>
      </c>
      <c r="C32" s="1">
        <f ca="1">IFERROR(__xludf.DUMMYFUNCTION("""COMPUTED_VALUE"""),1)</f>
        <v>1</v>
      </c>
    </row>
    <row r="33" spans="1:3" x14ac:dyDescent="0.2">
      <c r="A33" s="1" t="str">
        <f ca="1">IFERROR(__xludf.DUMMYFUNCTION("""COMPUTED_VALUE"""),"Jhow")</f>
        <v>Jhow</v>
      </c>
      <c r="B33" s="1" t="str">
        <f ca="1">IFERROR(__xludf.DUMMYFUNCTION("""COMPUTED_VALUE"""),"Sertanejo")</f>
        <v>Sertanejo</v>
      </c>
      <c r="C33" s="1">
        <f ca="1">IFERROR(__xludf.DUMMYFUNCTION("""COMPUTED_VALUE"""),1)</f>
        <v>1</v>
      </c>
    </row>
    <row r="34" spans="1:3" x14ac:dyDescent="0.2">
      <c r="A34" s="1" t="str">
        <f ca="1">IFERROR(__xludf.DUMMYFUNCTION("""COMPUTED_VALUE"""),"Jhow")</f>
        <v>Jhow</v>
      </c>
      <c r="B34" s="1" t="str">
        <f ca="1">IFERROR(__xludf.DUMMYFUNCTION("""COMPUTED_VALUE"""),"Funk")</f>
        <v>Funk</v>
      </c>
      <c r="C34" s="1">
        <f ca="1">IFERROR(__xludf.DUMMYFUNCTION("""COMPUTED_VALUE"""),1)</f>
        <v>1</v>
      </c>
    </row>
    <row r="35" spans="1:3" x14ac:dyDescent="0.2">
      <c r="A35" s="1" t="str">
        <f ca="1">IFERROR(__xludf.DUMMYFUNCTION("""COMPUTED_VALUE"""),"João")</f>
        <v>João</v>
      </c>
      <c r="B35" s="1" t="str">
        <f ca="1">IFERROR(__xludf.DUMMYFUNCTION("""COMPUTED_VALUE"""),"Sertanejo")</f>
        <v>Sertanejo</v>
      </c>
      <c r="C35" s="1">
        <f ca="1">IFERROR(__xludf.DUMMYFUNCTION("""COMPUTED_VALUE"""),1)</f>
        <v>1</v>
      </c>
    </row>
    <row r="36" spans="1:3" x14ac:dyDescent="0.2">
      <c r="A36" s="1" t="str">
        <f ca="1">IFERROR(__xludf.DUMMYFUNCTION("""COMPUTED_VALUE"""),"João")</f>
        <v>João</v>
      </c>
      <c r="B36" s="1" t="str">
        <f ca="1">IFERROR(__xludf.DUMMYFUNCTION("""COMPUTED_VALUE"""),"Clássica")</f>
        <v>Clássica</v>
      </c>
      <c r="C36" s="1">
        <f ca="1">IFERROR(__xludf.DUMMYFUNCTION("""COMPUTED_VALUE"""),1)</f>
        <v>1</v>
      </c>
    </row>
    <row r="37" spans="1:3" x14ac:dyDescent="0.2">
      <c r="A37" s="1" t="str">
        <f ca="1">IFERROR(__xludf.DUMMYFUNCTION("""COMPUTED_VALUE"""),"João")</f>
        <v>João</v>
      </c>
      <c r="B37" s="1" t="str">
        <f ca="1">IFERROR(__xludf.DUMMYFUNCTION("""COMPUTED_VALUE"""),"Funk")</f>
        <v>Funk</v>
      </c>
      <c r="C37" s="1">
        <f ca="1">IFERROR(__xludf.DUMMYFUNCTION("""COMPUTED_VALUE"""),1)</f>
        <v>1</v>
      </c>
    </row>
    <row r="38" spans="1:3" x14ac:dyDescent="0.2">
      <c r="A38" s="1" t="str">
        <f ca="1">IFERROR(__xludf.DUMMYFUNCTION("""COMPUTED_VALUE"""),"Maria Clara")</f>
        <v>Maria Clara</v>
      </c>
      <c r="B38" s="1" t="str">
        <f ca="1">IFERROR(__xludf.DUMMYFUNCTION("""COMPUTED_VALUE"""),"Pop")</f>
        <v>Pop</v>
      </c>
      <c r="C38" s="1">
        <f ca="1">IFERROR(__xludf.DUMMYFUNCTION("""COMPUTED_VALUE"""),1)</f>
        <v>1</v>
      </c>
    </row>
    <row r="39" spans="1:3" x14ac:dyDescent="0.2">
      <c r="A39" s="1" t="str">
        <f ca="1">IFERROR(__xludf.DUMMYFUNCTION("""COMPUTED_VALUE"""),"Maria Clara")</f>
        <v>Maria Clara</v>
      </c>
      <c r="B39" s="1" t="str">
        <f ca="1">IFERROR(__xludf.DUMMYFUNCTION("""COMPUTED_VALUE"""),"MPB")</f>
        <v>MPB</v>
      </c>
      <c r="C39" s="1">
        <f ca="1">IFERROR(__xludf.DUMMYFUNCTION("""COMPUTED_VALUE"""),1)</f>
        <v>1</v>
      </c>
    </row>
    <row r="40" spans="1:3" x14ac:dyDescent="0.2">
      <c r="A40" s="1" t="str">
        <f ca="1">IFERROR(__xludf.DUMMYFUNCTION("""COMPUTED_VALUE"""),"Maria Clara")</f>
        <v>Maria Clara</v>
      </c>
      <c r="B40" s="1" t="str">
        <f ca="1">IFERROR(__xludf.DUMMYFUNCTION("""COMPUTED_VALUE"""),"Hip Hop")</f>
        <v>Hip Hop</v>
      </c>
      <c r="C40" s="1">
        <f ca="1">IFERROR(__xludf.DUMMYFUNCTION("""COMPUTED_VALUE"""),1)</f>
        <v>1</v>
      </c>
    </row>
    <row r="41" spans="1:3" x14ac:dyDescent="0.2">
      <c r="A41" s="1" t="str">
        <f ca="1">IFERROR(__xludf.DUMMYFUNCTION("""COMPUTED_VALUE"""),"Maria Paula")</f>
        <v>Maria Paula</v>
      </c>
      <c r="B41" s="1" t="str">
        <f ca="1">IFERROR(__xludf.DUMMYFUNCTION("""COMPUTED_VALUE"""),"Pop")</f>
        <v>Pop</v>
      </c>
      <c r="C41" s="1">
        <f ca="1">IFERROR(__xludf.DUMMYFUNCTION("""COMPUTED_VALUE"""),1)</f>
        <v>1</v>
      </c>
    </row>
    <row r="42" spans="1:3" x14ac:dyDescent="0.2">
      <c r="A42" s="1" t="str">
        <f ca="1">IFERROR(__xludf.DUMMYFUNCTION("""COMPUTED_VALUE"""),"Maria Paula")</f>
        <v>Maria Paula</v>
      </c>
      <c r="B42" s="1" t="str">
        <f ca="1">IFERROR(__xludf.DUMMYFUNCTION("""COMPUTED_VALUE"""),"Sertanejo")</f>
        <v>Sertanejo</v>
      </c>
      <c r="C42" s="1">
        <f ca="1">IFERROR(__xludf.DUMMYFUNCTION("""COMPUTED_VALUE"""),1)</f>
        <v>1</v>
      </c>
    </row>
    <row r="43" spans="1:3" x14ac:dyDescent="0.2">
      <c r="A43" s="1" t="str">
        <f ca="1">IFERROR(__xludf.DUMMYFUNCTION("""COMPUTED_VALUE"""),"Maria Paula")</f>
        <v>Maria Paula</v>
      </c>
      <c r="B43" s="1" t="str">
        <f ca="1">IFERROR(__xludf.DUMMYFUNCTION("""COMPUTED_VALUE"""),"Funk")</f>
        <v>Funk</v>
      </c>
      <c r="C43" s="1">
        <f ca="1">IFERROR(__xludf.DUMMYFUNCTION("""COMPUTED_VALUE"""),1)</f>
        <v>1</v>
      </c>
    </row>
    <row r="44" spans="1:3" x14ac:dyDescent="0.2">
      <c r="A44" s="1" t="str">
        <f ca="1">IFERROR(__xludf.DUMMYFUNCTION("""COMPUTED_VALUE"""),"Gabriela")</f>
        <v>Gabriela</v>
      </c>
      <c r="B44" s="1" t="str">
        <f ca="1">IFERROR(__xludf.DUMMYFUNCTION("""COMPUTED_VALUE"""),"Rock")</f>
        <v>Rock</v>
      </c>
      <c r="C44" s="1">
        <f ca="1">IFERROR(__xludf.DUMMYFUNCTION("""COMPUTED_VALUE"""),1)</f>
        <v>1</v>
      </c>
    </row>
    <row r="45" spans="1:3" x14ac:dyDescent="0.2">
      <c r="A45" s="1" t="str">
        <f ca="1">IFERROR(__xludf.DUMMYFUNCTION("""COMPUTED_VALUE"""),"Gabriela")</f>
        <v>Gabriela</v>
      </c>
      <c r="B45" s="1" t="str">
        <f ca="1">IFERROR(__xludf.DUMMYFUNCTION("""COMPUTED_VALUE"""),"MPB")</f>
        <v>MPB</v>
      </c>
      <c r="C45" s="1">
        <f ca="1">IFERROR(__xludf.DUMMYFUNCTION("""COMPUTED_VALUE"""),1)</f>
        <v>1</v>
      </c>
    </row>
    <row r="46" spans="1:3" x14ac:dyDescent="0.2">
      <c r="A46" s="1" t="str">
        <f ca="1">IFERROR(__xludf.DUMMYFUNCTION("""COMPUTED_VALUE"""),"Gabriela")</f>
        <v>Gabriela</v>
      </c>
      <c r="B46" s="1" t="str">
        <f ca="1">IFERROR(__xludf.DUMMYFUNCTION("""COMPUTED_VALUE"""),"R&amp;B")</f>
        <v>R&amp;B</v>
      </c>
      <c r="C46" s="1">
        <f ca="1">IFERROR(__xludf.DUMMYFUNCTION("""COMPUTED_VALUE"""),1)</f>
        <v>1</v>
      </c>
    </row>
    <row r="47" spans="1:3" x14ac:dyDescent="0.2">
      <c r="A47" s="1" t="str">
        <f ca="1">IFERROR(__xludf.DUMMYFUNCTION("""COMPUTED_VALUE"""),"ana ")</f>
        <v xml:space="preserve">ana </v>
      </c>
      <c r="B47" s="1" t="str">
        <f ca="1">IFERROR(__xludf.DUMMYFUNCTION("""COMPUTED_VALUE"""),"Pop")</f>
        <v>Pop</v>
      </c>
      <c r="C47" s="1">
        <f ca="1">IFERROR(__xludf.DUMMYFUNCTION("""COMPUTED_VALUE"""),1)</f>
        <v>1</v>
      </c>
    </row>
    <row r="48" spans="1:3" x14ac:dyDescent="0.2">
      <c r="A48" s="1" t="str">
        <f ca="1">IFERROR(__xludf.DUMMYFUNCTION("""COMPUTED_VALUE"""),"ana ")</f>
        <v xml:space="preserve">ana </v>
      </c>
      <c r="B48" s="1" t="str">
        <f ca="1">IFERROR(__xludf.DUMMYFUNCTION("""COMPUTED_VALUE"""),"Hip Hop")</f>
        <v>Hip Hop</v>
      </c>
      <c r="C48" s="1">
        <f ca="1">IFERROR(__xludf.DUMMYFUNCTION("""COMPUTED_VALUE"""),1)</f>
        <v>1</v>
      </c>
    </row>
    <row r="49" spans="1:3" x14ac:dyDescent="0.2">
      <c r="A49" s="1" t="str">
        <f ca="1">IFERROR(__xludf.DUMMYFUNCTION("""COMPUTED_VALUE"""),"ana ")</f>
        <v xml:space="preserve">ana </v>
      </c>
      <c r="B49" s="1" t="str">
        <f ca="1">IFERROR(__xludf.DUMMYFUNCTION("""COMPUTED_VALUE"""),"Funk")</f>
        <v>Funk</v>
      </c>
      <c r="C49" s="1">
        <f ca="1">IFERROR(__xludf.DUMMYFUNCTION("""COMPUTED_VALUE"""),1)</f>
        <v>1</v>
      </c>
    </row>
    <row r="50" spans="1:3" x14ac:dyDescent="0.2">
      <c r="A50" s="1" t="str">
        <f ca="1">IFERROR(__xludf.DUMMYFUNCTION("""COMPUTED_VALUE"""),"miguel")</f>
        <v>miguel</v>
      </c>
      <c r="B50" s="1" t="str">
        <f ca="1">IFERROR(__xludf.DUMMYFUNCTION("""COMPUTED_VALUE"""),"Sertanejo")</f>
        <v>Sertanejo</v>
      </c>
      <c r="C50" s="1">
        <f ca="1">IFERROR(__xludf.DUMMYFUNCTION("""COMPUTED_VALUE"""),1)</f>
        <v>1</v>
      </c>
    </row>
    <row r="51" spans="1:3" x14ac:dyDescent="0.2">
      <c r="A51" s="1" t="str">
        <f ca="1">IFERROR(__xludf.DUMMYFUNCTION("""COMPUTED_VALUE"""),"miguel")</f>
        <v>miguel</v>
      </c>
      <c r="B51" s="1" t="str">
        <f ca="1">IFERROR(__xludf.DUMMYFUNCTION("""COMPUTED_VALUE"""),"Eletrônica")</f>
        <v>Eletrônica</v>
      </c>
      <c r="C51" s="1">
        <f ca="1">IFERROR(__xludf.DUMMYFUNCTION("""COMPUTED_VALUE"""),1)</f>
        <v>1</v>
      </c>
    </row>
    <row r="52" spans="1:3" x14ac:dyDescent="0.2">
      <c r="A52" s="1" t="str">
        <f ca="1">IFERROR(__xludf.DUMMYFUNCTION("""COMPUTED_VALUE"""),"miguel")</f>
        <v>miguel</v>
      </c>
      <c r="B52" s="1" t="str">
        <f ca="1">IFERROR(__xludf.DUMMYFUNCTION("""COMPUTED_VALUE"""),"Funk")</f>
        <v>Funk</v>
      </c>
      <c r="C52" s="1">
        <f ca="1">IFERROR(__xludf.DUMMYFUNCTION("""COMPUTED_VALUE"""),1)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 Canevare</cp:lastModifiedBy>
  <dcterms:modified xsi:type="dcterms:W3CDTF">2025-11-30T06:40:21Z</dcterms:modified>
</cp:coreProperties>
</file>